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Execut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color rgb="00000000"/>
      <sz val="11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E9EDF4"/>
        <bgColor rgb="00E9EDF4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 vertical="center"/>
    </xf>
    <xf numFmtId="4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Comparativo de Peso Molecular por Candidato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 Executivo'!C9</f>
            </strRef>
          </tx>
          <spPr>
            <a:ln>
              <a:prstDash val="solid"/>
            </a:ln>
          </spPr>
          <cat>
            <numRef>
              <f>'Dashboard Executivo'!$B$10:$B$12</f>
            </numRef>
          </cat>
          <val>
            <numRef>
              <f>'Dashboard Executivo'!$C$10:$C$12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ID do Composto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Peso Molecular (g/mol)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7</row>
      <rowOff>0</rowOff>
    </from>
    <ext cx="468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2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6" customWidth="1" min="3" max="3"/>
    <col width="12" customWidth="1" min="4" max="4"/>
    <col width="14" customWidth="1" min="5" max="5"/>
    <col width="12" customWidth="1" min="6" max="6"/>
    <col width="5" customWidth="1" min="7" max="7"/>
    <col width="12" customWidth="1" min="8" max="8"/>
    <col width="12" customWidth="1" min="9" max="9"/>
    <col width="15" customWidth="1" min="10" max="10"/>
  </cols>
  <sheetData>
    <row r="2">
      <c r="B2" s="1" t="inlineStr">
        <is>
          <t>PAINEL EXECUTIVO: TRIAGEM VIRTUAL DE FÁRMACOS</t>
        </is>
      </c>
    </row>
    <row r="4">
      <c r="B4" s="2" t="inlineStr">
        <is>
          <t>Total de Compostos</t>
        </is>
      </c>
      <c r="C4" s="3" t="n"/>
      <c r="E4" s="2" t="inlineStr">
        <is>
          <t>Peso Molecular Médio</t>
        </is>
      </c>
      <c r="F4" s="3" t="n"/>
      <c r="H4" s="2" t="inlineStr">
        <is>
          <t>LogP Médio</t>
        </is>
      </c>
      <c r="I4" s="3" t="n"/>
    </row>
    <row r="5">
      <c r="B5" s="4" t="n">
        <v>3</v>
      </c>
      <c r="C5" s="3" t="n"/>
      <c r="E5" s="5">
        <f>AVERAGE(C10:C12)</f>
        <v/>
      </c>
      <c r="F5" s="3" t="n"/>
      <c r="H5" s="5">
        <f>AVERAGE(D10:D12)</f>
        <v/>
      </c>
      <c r="I5" s="3" t="n"/>
    </row>
    <row r="8">
      <c r="B8" s="6" t="inlineStr">
        <is>
          <t>Candidatos Aprovados</t>
        </is>
      </c>
    </row>
    <row r="9">
      <c r="B9" s="7" t="inlineStr">
        <is>
          <t>ID</t>
        </is>
      </c>
      <c r="C9" s="7" t="inlineStr">
        <is>
          <t>Peso Molecular</t>
        </is>
      </c>
      <c r="D9" s="7" t="inlineStr">
        <is>
          <t>LogP</t>
        </is>
      </c>
      <c r="E9" s="7" t="inlineStr">
        <is>
          <t>Status</t>
        </is>
      </c>
    </row>
    <row r="10">
      <c r="B10" s="8" t="inlineStr">
        <is>
          <t>PubChem_2244</t>
        </is>
      </c>
      <c r="C10" s="9" t="n">
        <v>180.16</v>
      </c>
      <c r="D10" s="9" t="n">
        <v>1.31</v>
      </c>
      <c r="E10" s="10" t="inlineStr">
        <is>
          <t>Aprovado</t>
        </is>
      </c>
    </row>
    <row r="11">
      <c r="B11" s="8" t="inlineStr">
        <is>
          <t>PubChem_3672</t>
        </is>
      </c>
      <c r="C11" s="9" t="n">
        <v>194.19</v>
      </c>
      <c r="D11" s="9" t="n">
        <v>-0.29</v>
      </c>
      <c r="E11" s="10" t="inlineStr">
        <is>
          <t>Aprovado</t>
        </is>
      </c>
    </row>
    <row r="12">
      <c r="B12" s="8" t="inlineStr">
        <is>
          <t>PubChem_148</t>
        </is>
      </c>
      <c r="C12" s="9" t="n">
        <v>151.16</v>
      </c>
      <c r="D12" s="9" t="n">
        <v>0.46</v>
      </c>
      <c r="E12" s="10" t="inlineStr">
        <is>
          <t>Aprovado</t>
        </is>
      </c>
    </row>
  </sheetData>
  <mergeCells count="6">
    <mergeCell ref="E4:F4"/>
    <mergeCell ref="B5:C5"/>
    <mergeCell ref="E5:F5"/>
    <mergeCell ref="H5:I5"/>
    <mergeCell ref="H4:I4"/>
    <mergeCell ref="B4:C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2026-10-06T12:34:28Z</dcterms:created>
  <dcterms:modified xsi:type="dcterms:W3CDTF">2026-10-06T12:34:28Z</dcterms:modified>
</cp:coreProperties>
</file>